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summer\夏休みの課題\"/>
    </mc:Choice>
  </mc:AlternateContent>
  <xr:revisionPtr revIDLastSave="0" documentId="13_ncr:1_{F4CEB934-00AD-4048-B1A6-1158F740E197}" xr6:coauthVersionLast="47" xr6:coauthVersionMax="47" xr10:uidLastSave="{00000000-0000-0000-0000-000000000000}"/>
  <bookViews>
    <workbookView xWindow="7770" yWindow="3465" windowWidth="12915" windowHeight="10275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H5" i="1"/>
  <c r="H6" i="1"/>
  <c r="H3" i="1"/>
  <c r="H2" i="1"/>
  <c r="I13" i="1"/>
  <c r="K13" i="1" l="1"/>
  <c r="L13" i="1" s="1"/>
  <c r="H4" i="1"/>
  <c r="J4" i="1" s="1"/>
  <c r="J13" i="1"/>
  <c r="K4" i="1"/>
  <c r="L4" i="1" s="1"/>
</calcChain>
</file>

<file path=xl/sharedStrings.xml><?xml version="1.0" encoding="utf-8"?>
<sst xmlns="http://schemas.openxmlformats.org/spreadsheetml/2006/main" count="114" uniqueCount="74">
  <si>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</si>
  <si>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</si>
  <si>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</si>
  <si>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</si>
  <si>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</si>
  <si>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</si>
  <si>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</si>
  <si>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</si>
  <si>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</si>
  <si>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</si>
  <si>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</si>
  <si>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</si>
  <si>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</si>
  <si>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</si>
  <si>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</si>
  <si>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</si>
  <si>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</si>
  <si>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</si>
  <si>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</si>
  <si>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</si>
  <si>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</si>
  <si>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</si>
  <si>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</si>
  <si>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</si>
  <si>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</si>
  <si>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</si>
  <si>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</si>
  <si>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</si>
  <si>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</si>
  <si>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</si>
  <si>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</si>
  <si>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－　被弾</t>
    <rPh sb="3" eb="5">
      <t>ヒダン</t>
    </rPh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</si>
  <si>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</si>
  <si>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</si>
  <si>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</si>
  <si>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・キャラクター</t>
    <phoneticPr fontId="1"/>
  </si>
  <si>
    <t>　―　キャラ１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</si>
  <si>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</si>
  <si>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</si>
  <si>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</si>
  <si>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・マップ</t>
    <phoneticPr fontId="1"/>
  </si>
  <si>
    <t>　－　マップ設計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</si>
  <si>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</si>
  <si>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</si>
  <si>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</si>
  <si>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</si>
  <si>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</si>
  <si>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</si>
  <si>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</si>
  <si>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</si>
  <si>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</si>
  <si>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</si>
  <si>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</si>
  <si>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</si>
  <si>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</si>
  <si>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</si>
  <si>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</si>
  <si>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</si>
  <si>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</si>
  <si>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</si>
  <si>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</si>
  <si>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</si>
  <si>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</si>
  <si>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未完</t>
    <phoneticPr fontId="1"/>
  </si>
  <si>
    <t>　－　呪文攻撃</t>
    <rPh sb="3" eb="5">
      <t>ジュモン</t>
    </rPh>
    <rPh sb="5" eb="7">
      <t>コウゲキ</t>
    </rPh>
    <phoneticPr fontId="1"/>
  </si>
  <si>
    <t>　－　武器攻撃</t>
    <rPh sb="3" eb="5">
      <t>ブキ</t>
    </rPh>
    <rPh sb="5" eb="7">
      <t>コウゲキ</t>
    </rPh>
    <phoneticPr fontId="1"/>
  </si>
  <si>
    <t>　ー　クリア画面</t>
    <rPh sb="6" eb="8">
      <t>ガメン</t>
    </rPh>
    <phoneticPr fontId="1"/>
  </si>
  <si>
    <t>　ー　ゲームオーバー画面</t>
    <rPh sb="10" eb="12">
      <t>ガメン</t>
    </rPh>
    <phoneticPr fontId="1"/>
  </si>
  <si>
    <t>　―　ザコ敵</t>
    <rPh sb="5" eb="6">
      <t>テキ</t>
    </rPh>
    <phoneticPr fontId="1"/>
  </si>
  <si>
    <t>　―　ボス</t>
    <phoneticPr fontId="1"/>
  </si>
  <si>
    <t>　－　プレイヤーと敵の当たり判定</t>
    <phoneticPr fontId="1"/>
  </si>
  <si>
    <t>　－　プレイヤーと回復ポイントの当たり判定</t>
    <rPh sb="9" eb="11">
      <t>カイフク</t>
    </rPh>
    <rPh sb="16" eb="17">
      <t>ア</t>
    </rPh>
    <rPh sb="19" eb="21">
      <t>ハンテイ</t>
    </rPh>
    <phoneticPr fontId="1"/>
  </si>
  <si>
    <t>　ー　キャラドット絵素材</t>
    <rPh sb="9" eb="10">
      <t>エ</t>
    </rPh>
    <rPh sb="10" eb="12">
      <t>ソザイ</t>
    </rPh>
    <phoneticPr fontId="1"/>
  </si>
  <si>
    <t>　―　回復処理</t>
    <rPh sb="3" eb="7">
      <t>カイフクショリ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</si>
</sst>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6" borderId="1" xfId="0" applyFont="1" applyFill="1" applyBorder="1"/>
    <xf numFmtId="0" fontId="2" fillId="3" borderId="1" xfId="0" applyFont="1" applyFill="1" applyBorder="1"/>
    <xf numFmtId="0" fontId="0" fillId="8" borderId="1" xfId="0" applyFill="1" applyBorder="1"/>
    <xf numFmtId="0" fontId="0" fillId="0" borderId="1" xfId="0" applyBorder="1"/>
    <xf numFmtId="0" fontId="0" fillId="11" borderId="1" xfId="0" applyFill="1" applyBorder="1"/>
    <xf numFmtId="0" fontId="3" fillId="11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2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topLeftCell="A10" zoomScaleNormal="100" workbookViewId="0">
      <selection activeCell="E16" sqref="E16"/>
    </sheetView>
  </sheetViews>
  <sheetFormatPr defaultRowHeight="18.75"/>
  <cols>
    <col min="1" max="1" width="9.25" customWidth="1"/>
    <col min="2" max="2" width="42.375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2" t="s">
        <v>5</v>
      </c>
      <c r="H2">
        <f>SUM(C3:C56)</f>
        <v>35.5</v>
      </c>
    </row>
    <row r="3" spans="1:12">
      <c r="B3" s="8" t="s">
        <v>6</v>
      </c>
      <c r="C3" s="8">
        <v>1</v>
      </c>
      <c r="D3" s="8"/>
      <c r="E3" s="8" t="s">
        <v>7</v>
      </c>
      <c r="G3" s="13" t="s">
        <v>8</v>
      </c>
      <c r="H3">
        <f>SUMIF(E3:E56,"完了",C3:C56)</f>
        <v>0</v>
      </c>
      <c r="K3" t="s">
        <v>9</v>
      </c>
      <c r="L3" t="s">
        <v>10</v>
      </c>
    </row>
    <row r="4" spans="1:12">
      <c r="B4" s="9" t="s">
        <v>13</v>
      </c>
      <c r="C4" s="9"/>
      <c r="D4" s="9"/>
      <c r="E4" s="9"/>
      <c r="G4" s="14" t="s">
        <v>11</v>
      </c>
      <c r="H4" s="2">
        <f ca="1">NETWORKDAYS(H5,H6)</f>
        <v>-2</v>
      </c>
      <c r="I4" t="s">
        <v>12</v>
      </c>
      <c r="J4" s="3">
        <f ca="1" xml:space="preserve"> H3 / H4</f>
        <v>0</v>
      </c>
      <c r="K4" s="2">
        <f ca="1">_xlfn.DAYS(H6,H5)</f>
        <v>-2</v>
      </c>
      <c r="L4" s="3">
        <f ca="1">H3/K4</f>
        <v>0</v>
      </c>
    </row>
    <row r="5" spans="1:12">
      <c r="B5" s="9" t="s">
        <v>72</v>
      </c>
      <c r="C5" s="9">
        <v>2</v>
      </c>
      <c r="D5" s="9"/>
      <c r="E5" s="9" t="s">
        <v>63</v>
      </c>
      <c r="G5" s="15" t="s">
        <v>14</v>
      </c>
      <c r="H5" s="1">
        <f>DATE(2026,7,25)</f>
        <v>46228</v>
      </c>
    </row>
    <row r="6" spans="1:12">
      <c r="B6" s="8" t="s">
        <v>16</v>
      </c>
      <c r="C6" s="8">
        <v>1</v>
      </c>
      <c r="D6" s="8"/>
      <c r="E6" s="8" t="s">
        <v>7</v>
      </c>
      <c r="G6" s="16" t="s">
        <v>15</v>
      </c>
      <c r="H6" s="1">
        <f ca="1">TODAY()</f>
        <v>46226</v>
      </c>
    </row>
    <row r="7" spans="1:12">
      <c r="B7" s="8" t="s">
        <v>17</v>
      </c>
      <c r="C7" s="8">
        <v>1</v>
      </c>
      <c r="D7" s="8"/>
      <c r="E7" s="8" t="s">
        <v>7</v>
      </c>
    </row>
    <row r="8" spans="1:12">
      <c r="B8" s="8" t="s">
        <v>18</v>
      </c>
      <c r="C8" s="8">
        <v>1</v>
      </c>
      <c r="D8" s="8"/>
      <c r="E8" s="8" t="s">
        <v>7</v>
      </c>
    </row>
    <row r="9" spans="1:12">
      <c r="B9" s="8" t="s">
        <v>19</v>
      </c>
      <c r="C9" s="8">
        <v>1</v>
      </c>
      <c r="D9" s="8"/>
      <c r="E9" s="8" t="s">
        <v>7</v>
      </c>
    </row>
    <row r="10" spans="1:12">
      <c r="B10" s="10" t="s">
        <v>20</v>
      </c>
      <c r="C10" s="10">
        <v>1</v>
      </c>
      <c r="D10" s="10"/>
      <c r="E10" s="10" t="s">
        <v>7</v>
      </c>
    </row>
    <row r="11" spans="1:12">
      <c r="B11" s="9" t="s">
        <v>25</v>
      </c>
      <c r="C11" s="9"/>
      <c r="D11" s="9"/>
      <c r="E11" s="9"/>
      <c r="I11" t="s">
        <v>21</v>
      </c>
      <c r="J11" t="s">
        <v>22</v>
      </c>
      <c r="K11" t="s">
        <v>23</v>
      </c>
      <c r="L11" t="s">
        <v>24</v>
      </c>
    </row>
    <row r="12" spans="1:12">
      <c r="B12" s="9" t="s">
        <v>70</v>
      </c>
      <c r="C12" s="9">
        <v>0.5</v>
      </c>
      <c r="D12" s="9"/>
      <c r="E12" s="9"/>
    </row>
    <row r="13" spans="1:12">
      <c r="B13" s="9" t="s">
        <v>71</v>
      </c>
      <c r="C13" s="9">
        <v>0.5</v>
      </c>
      <c r="D13" s="9"/>
      <c r="E13" s="9" t="s">
        <v>63</v>
      </c>
      <c r="G13" s="12" t="s">
        <v>26</v>
      </c>
      <c r="H13" s="1">
        <f>DATE(2026,8,20)</f>
        <v>46254</v>
      </c>
      <c r="I13" s="2">
        <f ca="1">NETWORKDAYS(TODAY(),H13)</f>
        <v>21</v>
      </c>
      <c r="J13" s="3">
        <f ca="1">($H$2 - $H$3) / I13</f>
        <v>1.6904761904761905</v>
      </c>
      <c r="K13">
        <f ca="1">_xlfn.DAYS(H13,$H$6)</f>
        <v>28</v>
      </c>
      <c r="L13" s="3">
        <f ca="1">($H$2 - $H$3) / K13</f>
        <v>1.2678571428571428</v>
      </c>
    </row>
    <row r="14" spans="1:12">
      <c r="B14" s="9" t="s">
        <v>27</v>
      </c>
      <c r="C14" s="9"/>
      <c r="D14" s="9"/>
      <c r="E14" s="9"/>
    </row>
    <row r="15" spans="1:12">
      <c r="B15" s="9" t="s">
        <v>28</v>
      </c>
      <c r="C15" s="9">
        <v>0.5</v>
      </c>
      <c r="D15" s="9"/>
      <c r="E15" s="9" t="s">
        <v>63</v>
      </c>
    </row>
    <row r="16" spans="1:12">
      <c r="B16" s="9" t="s">
        <v>73</v>
      </c>
      <c r="C16" s="9">
        <v>0.5</v>
      </c>
      <c r="D16" s="9"/>
      <c r="E16" s="9" t="s">
        <v>7</v>
      </c>
    </row>
    <row r="17" spans="2:5">
      <c r="B17" s="9" t="s">
        <v>29</v>
      </c>
      <c r="C17" s="9">
        <v>0.5</v>
      </c>
      <c r="D17" s="9"/>
      <c r="E17" s="9" t="s">
        <v>63</v>
      </c>
    </row>
    <row r="18" spans="2:5">
      <c r="B18" s="10" t="s">
        <v>30</v>
      </c>
      <c r="C18" s="10">
        <v>1</v>
      </c>
      <c r="D18" s="10"/>
      <c r="E18" s="10" t="s">
        <v>7</v>
      </c>
    </row>
    <row r="19" spans="2:5">
      <c r="B19" s="10" t="s">
        <v>65</v>
      </c>
      <c r="C19" s="10">
        <v>1</v>
      </c>
      <c r="D19" s="10"/>
      <c r="E19" s="10" t="s">
        <v>7</v>
      </c>
    </row>
    <row r="20" spans="2:5">
      <c r="B20" s="8" t="s">
        <v>64</v>
      </c>
      <c r="C20" s="8">
        <v>1</v>
      </c>
      <c r="D20" s="8"/>
      <c r="E20" s="8" t="s">
        <v>7</v>
      </c>
    </row>
    <row r="21" spans="2:5">
      <c r="B21" s="10" t="s">
        <v>31</v>
      </c>
      <c r="C21" s="10">
        <v>0.5</v>
      </c>
      <c r="D21" s="10"/>
      <c r="E21" s="10" t="s">
        <v>7</v>
      </c>
    </row>
    <row r="22" spans="2:5">
      <c r="B22" s="8" t="s">
        <v>32</v>
      </c>
      <c r="C22" s="8">
        <v>0.5</v>
      </c>
      <c r="D22" s="8"/>
      <c r="E22" s="8" t="s">
        <v>7</v>
      </c>
    </row>
    <row r="23" spans="2:5">
      <c r="B23" s="10" t="s">
        <v>33</v>
      </c>
      <c r="C23" s="10">
        <v>1</v>
      </c>
      <c r="D23" s="10"/>
      <c r="E23" s="10" t="s">
        <v>7</v>
      </c>
    </row>
    <row r="24" spans="2:5">
      <c r="B24" s="9" t="s">
        <v>34</v>
      </c>
      <c r="C24" s="9"/>
      <c r="D24" s="9"/>
      <c r="E24" s="9"/>
    </row>
    <row r="25" spans="2:5">
      <c r="B25" s="17" t="s">
        <v>68</v>
      </c>
      <c r="C25" s="17">
        <v>1</v>
      </c>
      <c r="D25" s="17"/>
      <c r="E25" s="17" t="s">
        <v>7</v>
      </c>
    </row>
    <row r="26" spans="2:5">
      <c r="B26" s="17" t="s">
        <v>69</v>
      </c>
      <c r="C26" s="17">
        <v>1.5</v>
      </c>
      <c r="D26" s="17"/>
      <c r="E26" s="17" t="s">
        <v>7</v>
      </c>
    </row>
    <row r="27" spans="2:5">
      <c r="B27" s="9" t="s">
        <v>35</v>
      </c>
      <c r="C27" s="9"/>
      <c r="D27" s="9"/>
      <c r="E27" s="9"/>
    </row>
    <row r="28" spans="2:5">
      <c r="B28" s="8" t="s">
        <v>36</v>
      </c>
      <c r="C28" s="8">
        <v>0.5</v>
      </c>
      <c r="D28" s="8"/>
      <c r="E28" s="8" t="s">
        <v>7</v>
      </c>
    </row>
    <row r="29" spans="2:5">
      <c r="B29" s="9" t="s">
        <v>37</v>
      </c>
      <c r="C29" s="9"/>
      <c r="D29" s="9"/>
      <c r="E29" s="9"/>
    </row>
    <row r="30" spans="2:5">
      <c r="B30" s="9" t="s">
        <v>38</v>
      </c>
      <c r="C30" s="9">
        <v>0.5</v>
      </c>
      <c r="D30" s="9"/>
      <c r="E30" s="9" t="s">
        <v>63</v>
      </c>
    </row>
    <row r="31" spans="2:5">
      <c r="B31" s="9" t="s">
        <v>39</v>
      </c>
      <c r="C31" s="9">
        <v>0.5</v>
      </c>
      <c r="D31" s="9"/>
      <c r="E31" s="9" t="s">
        <v>63</v>
      </c>
    </row>
    <row r="32" spans="2:5">
      <c r="B32" s="9" t="s">
        <v>40</v>
      </c>
      <c r="C32" s="9"/>
      <c r="D32" s="9"/>
      <c r="E32" s="9"/>
    </row>
    <row r="33" spans="2:5">
      <c r="B33" s="8" t="s">
        <v>41</v>
      </c>
      <c r="C33" s="8">
        <v>1</v>
      </c>
      <c r="D33" s="8"/>
      <c r="E33" s="8" t="s">
        <v>7</v>
      </c>
    </row>
    <row r="34" spans="2:5">
      <c r="B34" s="8" t="s">
        <v>42</v>
      </c>
      <c r="C34" s="8">
        <v>1.5</v>
      </c>
      <c r="D34" s="8"/>
      <c r="E34" s="8" t="s">
        <v>7</v>
      </c>
    </row>
    <row r="35" spans="2:5">
      <c r="B35" s="8" t="s">
        <v>43</v>
      </c>
      <c r="C35" s="8">
        <v>1</v>
      </c>
      <c r="D35" s="8"/>
      <c r="E35" s="8" t="s">
        <v>7</v>
      </c>
    </row>
    <row r="36" spans="2:5">
      <c r="B36" s="9" t="s">
        <v>44</v>
      </c>
      <c r="C36" s="9"/>
      <c r="D36" s="9"/>
      <c r="E36" s="9"/>
    </row>
    <row r="37" spans="2:5">
      <c r="B37" s="8" t="s">
        <v>45</v>
      </c>
      <c r="C37" s="8">
        <v>0.5</v>
      </c>
      <c r="D37" s="8"/>
      <c r="E37" s="8" t="s">
        <v>7</v>
      </c>
    </row>
    <row r="38" spans="2:5">
      <c r="B38" s="8" t="s">
        <v>46</v>
      </c>
      <c r="C38" s="8">
        <v>0.5</v>
      </c>
      <c r="D38" s="8"/>
      <c r="E38" s="8" t="s">
        <v>7</v>
      </c>
    </row>
    <row r="39" spans="2:5">
      <c r="B39" s="8" t="s">
        <v>47</v>
      </c>
      <c r="C39" s="8">
        <v>0.5</v>
      </c>
      <c r="D39" s="8"/>
      <c r="E39" s="8" t="s">
        <v>7</v>
      </c>
    </row>
    <row r="40" spans="2:5">
      <c r="B40" s="8" t="s">
        <v>48</v>
      </c>
      <c r="C40" s="8">
        <v>0.5</v>
      </c>
      <c r="D40" s="8"/>
      <c r="E40" s="8" t="s">
        <v>7</v>
      </c>
    </row>
    <row r="41" spans="2:5">
      <c r="B41" s="9" t="s">
        <v>49</v>
      </c>
      <c r="C41" s="9"/>
      <c r="D41" s="9"/>
      <c r="E41" s="9"/>
    </row>
    <row r="42" spans="2:5">
      <c r="B42" s="8" t="s">
        <v>50</v>
      </c>
      <c r="C42" s="8">
        <v>0.5</v>
      </c>
      <c r="D42" s="8"/>
      <c r="E42" s="8" t="s">
        <v>7</v>
      </c>
    </row>
    <row r="43" spans="2:5">
      <c r="B43" s="8" t="s">
        <v>67</v>
      </c>
      <c r="C43" s="8">
        <v>0.5</v>
      </c>
      <c r="D43" s="8"/>
      <c r="E43" s="8" t="s">
        <v>7</v>
      </c>
    </row>
    <row r="44" spans="2:5">
      <c r="B44" s="8" t="s">
        <v>66</v>
      </c>
      <c r="C44" s="8">
        <v>0.5</v>
      </c>
      <c r="D44" s="8"/>
      <c r="E44" s="8" t="s">
        <v>7</v>
      </c>
    </row>
    <row r="45" spans="2:5">
      <c r="B45" s="8" t="s">
        <v>51</v>
      </c>
      <c r="C45" s="8">
        <v>1.5</v>
      </c>
      <c r="D45" s="8"/>
      <c r="E45" s="8" t="s">
        <v>7</v>
      </c>
    </row>
    <row r="46" spans="2:5">
      <c r="B46" s="8" t="s">
        <v>52</v>
      </c>
      <c r="C46" s="8">
        <v>0.5</v>
      </c>
      <c r="D46" s="8"/>
      <c r="E46" s="8" t="s">
        <v>7</v>
      </c>
    </row>
    <row r="47" spans="2:5">
      <c r="B47" s="9" t="s">
        <v>53</v>
      </c>
      <c r="C47" s="9"/>
      <c r="D47" s="9"/>
      <c r="E47" s="9"/>
    </row>
    <row r="48" spans="2:5">
      <c r="B48" s="8" t="s">
        <v>54</v>
      </c>
      <c r="C48" s="8">
        <v>1</v>
      </c>
      <c r="D48" s="8"/>
      <c r="E48" s="8" t="s">
        <v>7</v>
      </c>
    </row>
    <row r="49" spans="2:7">
      <c r="B49" s="8" t="s">
        <v>55</v>
      </c>
      <c r="C49" s="8">
        <v>0.5</v>
      </c>
      <c r="D49" s="8"/>
      <c r="E49" s="8" t="s">
        <v>7</v>
      </c>
      <c r="G49" s="1"/>
    </row>
    <row r="50" spans="2:7">
      <c r="B50" s="8" t="s">
        <v>56</v>
      </c>
      <c r="C50" s="8">
        <v>1.5</v>
      </c>
      <c r="D50" s="8"/>
      <c r="E50" s="8" t="s">
        <v>7</v>
      </c>
      <c r="G50" s="1"/>
    </row>
    <row r="51" spans="2:7">
      <c r="B51" s="11" t="s">
        <v>57</v>
      </c>
      <c r="C51" s="11">
        <v>1</v>
      </c>
      <c r="D51" s="11"/>
      <c r="E51" s="11" t="s">
        <v>7</v>
      </c>
      <c r="G51" s="1"/>
    </row>
    <row r="52" spans="2:7">
      <c r="B52" s="9" t="s">
        <v>58</v>
      </c>
      <c r="C52" s="9"/>
      <c r="D52" s="9"/>
      <c r="E52" s="9"/>
    </row>
    <row r="53" spans="2:7">
      <c r="B53" s="8" t="s">
        <v>59</v>
      </c>
      <c r="C53" s="8">
        <v>0.5</v>
      </c>
      <c r="D53" s="8"/>
      <c r="E53" s="8" t="s">
        <v>7</v>
      </c>
    </row>
    <row r="54" spans="2:7">
      <c r="B54" s="8" t="s">
        <v>60</v>
      </c>
      <c r="C54" s="8">
        <v>0.5</v>
      </c>
      <c r="D54" s="8"/>
      <c r="E54" s="8" t="s">
        <v>7</v>
      </c>
    </row>
    <row r="55" spans="2:7">
      <c r="B55" s="8" t="s">
        <v>61</v>
      </c>
      <c r="C55" s="8">
        <v>0.5</v>
      </c>
      <c r="D55" s="8"/>
      <c r="E55" s="8" t="s">
        <v>7</v>
      </c>
    </row>
    <row r="56" spans="2:7">
      <c r="B56" s="8" t="s">
        <v>62</v>
      </c>
      <c r="C56" s="8">
        <v>1.5</v>
      </c>
      <c r="D56" s="8"/>
      <c r="E56" s="8" t="s">
        <v>7</v>
      </c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customXml/itemProps3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2026-07-23T07:53:35Z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